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2024\IBM\Test_Cases_Final\Geometries\"/>
    </mc:Choice>
  </mc:AlternateContent>
  <bookViews>
    <workbookView xWindow="0" yWindow="0" windowWidth="17550" windowHeight="10785"/>
  </bookViews>
  <sheets>
    <sheet name="Blunt Body" sheetId="1" r:id="rId1"/>
    <sheet name="Aerospike" sheetId="2" r:id="rId2"/>
    <sheet name="Triangular Prism" sheetId="3" r:id="rId3"/>
    <sheet name="DBump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3" l="1"/>
  <c r="Q3" i="3"/>
  <c r="T3" i="3" s="1"/>
  <c r="Q2" i="3"/>
  <c r="Q4" i="2"/>
  <c r="T4" i="2" s="1"/>
  <c r="Q3" i="2"/>
  <c r="B2" i="1"/>
  <c r="M7" i="1"/>
  <c r="M6" i="1"/>
  <c r="Q9" i="5"/>
  <c r="R9" i="5"/>
  <c r="Q7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5" i="3"/>
  <c r="K5" i="3"/>
  <c r="J6" i="3"/>
  <c r="K6" i="3"/>
  <c r="J7" i="3"/>
  <c r="K7" i="3"/>
  <c r="J4" i="3"/>
  <c r="K4" i="3"/>
  <c r="P6" i="1" l="1"/>
  <c r="P7" i="1" s="1"/>
  <c r="S2" i="3"/>
  <c r="T2" i="3" s="1"/>
  <c r="S3" i="2"/>
  <c r="T3" i="2" s="1"/>
  <c r="Q9" i="3"/>
  <c r="Q8" i="3"/>
  <c r="W5" i="5"/>
  <c r="W4" i="5" s="1"/>
  <c r="V5" i="5"/>
  <c r="V4" i="5" s="1"/>
  <c r="U4" i="5" s="1"/>
  <c r="X10" i="5"/>
  <c r="X12" i="5"/>
  <c r="S7" i="5"/>
  <c r="R8" i="5"/>
  <c r="S9" i="5" l="1"/>
  <c r="Q7" i="5"/>
  <c r="B2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28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5" i="5"/>
  <c r="B7" i="3" l="1"/>
  <c r="B5" i="3"/>
  <c r="B6" i="3" s="1"/>
  <c r="B2" i="3" s="1"/>
  <c r="E10" i="3"/>
  <c r="C5" i="3"/>
  <c r="B2" i="2"/>
  <c r="C31" i="2"/>
  <c r="H7" i="2"/>
  <c r="E7" i="2" s="1"/>
  <c r="E10" i="2" s="1"/>
  <c r="F7" i="2"/>
  <c r="F8" i="2" s="1"/>
  <c r="F9" i="2" s="1"/>
  <c r="F10" i="2" s="1"/>
  <c r="H5" i="2"/>
  <c r="H6" i="2" s="1"/>
  <c r="I6" i="2" s="1"/>
  <c r="E6" i="2" s="1"/>
  <c r="E11" i="2" s="1"/>
  <c r="F5" i="2"/>
  <c r="F4" i="2" s="1"/>
  <c r="F6" i="2" s="1"/>
  <c r="F11" i="2" s="1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B31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C8" i="1"/>
  <c r="B8" i="1"/>
  <c r="C6" i="3" l="1"/>
  <c r="E5" i="3" s="1"/>
  <c r="E8" i="3" l="1"/>
  <c r="G5" i="3"/>
</calcChain>
</file>

<file path=xl/sharedStrings.xml><?xml version="1.0" encoding="utf-8"?>
<sst xmlns="http://schemas.openxmlformats.org/spreadsheetml/2006/main" count="13" uniqueCount="5">
  <si>
    <t>X</t>
  </si>
  <si>
    <t>Y</t>
  </si>
  <si>
    <t>P</t>
  </si>
  <si>
    <t>T</t>
  </si>
  <si>
    <t>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</si>
</sst>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"/>
    <numFmt numFmtId="165" formatCode="0.0000000"/>
    <numFmt numFmtId="166" formatCode="0.00000000"/>
    <numFmt numFmtId="16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'Blunt Body'!$C$3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'Blunt Body'!$B$4:$B$234</c:f>
              <c:numCache>
                <c:formatCode>0.0000000</c:formatCode>
                <c:ptCount val="2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3.06287113727155E-17</c:v>
                </c:pt>
                <c:pt idx="5">
                  <c:v>-4.3577871373829118E-2</c:v>
                </c:pt>
                <c:pt idx="6">
                  <c:v>-8.6824088833465152E-2</c:v>
                </c:pt>
                <c:pt idx="7">
                  <c:v>-0.12940952255126043</c:v>
                </c:pt>
                <c:pt idx="8">
                  <c:v>-0.17101007166283436</c:v>
                </c:pt>
                <c:pt idx="9">
                  <c:v>-0.21130913087034967</c:v>
                </c:pt>
                <c:pt idx="10">
                  <c:v>-0.24999999999999989</c:v>
                </c:pt>
                <c:pt idx="11">
                  <c:v>-0.28678821817552291</c:v>
                </c:pt>
                <c:pt idx="12">
                  <c:v>-0.32139380484326968</c:v>
                </c:pt>
                <c:pt idx="13">
                  <c:v>-0.35355339059327373</c:v>
                </c:pt>
                <c:pt idx="14">
                  <c:v>-0.38302222155948895</c:v>
                </c:pt>
                <c:pt idx="15">
                  <c:v>-0.40957602214449579</c:v>
                </c:pt>
                <c:pt idx="16">
                  <c:v>-0.43301270189221935</c:v>
                </c:pt>
                <c:pt idx="17">
                  <c:v>-0.45315389351832497</c:v>
                </c:pt>
                <c:pt idx="18">
                  <c:v>-0.46984631039295416</c:v>
                </c:pt>
                <c:pt idx="19">
                  <c:v>-0.4829629131445341</c:v>
                </c:pt>
                <c:pt idx="20">
                  <c:v>-0.49240387650610401</c:v>
                </c:pt>
                <c:pt idx="21">
                  <c:v>-0.49809734904587277</c:v>
                </c:pt>
                <c:pt idx="22">
                  <c:v>-0.5</c:v>
                </c:pt>
                <c:pt idx="23">
                  <c:v>-0.49809734904587277</c:v>
                </c:pt>
                <c:pt idx="24">
                  <c:v>-0.49240387650610401</c:v>
                </c:pt>
                <c:pt idx="25">
                  <c:v>-0.48296291314453421</c:v>
                </c:pt>
                <c:pt idx="26">
                  <c:v>-0.46984631039295421</c:v>
                </c:pt>
                <c:pt idx="27">
                  <c:v>-0.45315389351832502</c:v>
                </c:pt>
                <c:pt idx="28">
                  <c:v>-0.4330127018922193</c:v>
                </c:pt>
                <c:pt idx="29">
                  <c:v>-0.40957602214449601</c:v>
                </c:pt>
                <c:pt idx="30">
                  <c:v>-0.38302222155948901</c:v>
                </c:pt>
                <c:pt idx="31">
                  <c:v>-0.35355339059327384</c:v>
                </c:pt>
                <c:pt idx="32">
                  <c:v>-0.32139380484326974</c:v>
                </c:pt>
                <c:pt idx="33">
                  <c:v>-0.28678821817552319</c:v>
                </c:pt>
                <c:pt idx="34">
                  <c:v>-0.25000000000000022</c:v>
                </c:pt>
                <c:pt idx="35">
                  <c:v>-0.21130913087034997</c:v>
                </c:pt>
                <c:pt idx="36">
                  <c:v>-0.17101007166283469</c:v>
                </c:pt>
                <c:pt idx="37">
                  <c:v>-0.12940952255126031</c:v>
                </c:pt>
                <c:pt idx="38">
                  <c:v>-8.6824088833465166E-2</c:v>
                </c:pt>
                <c:pt idx="39">
                  <c:v>-4.3577871373829125E-2</c:v>
                </c:pt>
                <c:pt idx="40">
                  <c:v>-9.1886134118146501E-17</c:v>
                </c:pt>
              </c:numCache>
            </c:numRef>
          </c:xVal>
          <c:yVal>
            <c:numRef>
              <c:f>'Blunt Body'!$C$4:$C$234</c:f>
              <c:numCache>
                <c:formatCode>0.0000000</c:formatCode>
                <c:ptCount val="231"/>
                <c:pt idx="0">
                  <c:v>-0.5</c:v>
                </c:pt>
                <c:pt idx="1">
                  <c:v>-0.5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0.49809734904587277</c:v>
                </c:pt>
                <c:pt idx="6">
                  <c:v>0.49240387650610401</c:v>
                </c:pt>
                <c:pt idx="7">
                  <c:v>0.48296291314453416</c:v>
                </c:pt>
                <c:pt idx="8">
                  <c:v>0.46984631039295421</c:v>
                </c:pt>
                <c:pt idx="9">
                  <c:v>0.45315389351832502</c:v>
                </c:pt>
                <c:pt idx="10">
                  <c:v>0.43301270189221935</c:v>
                </c:pt>
                <c:pt idx="11">
                  <c:v>0.40957602214449601</c:v>
                </c:pt>
                <c:pt idx="12">
                  <c:v>0.38302222155948901</c:v>
                </c:pt>
                <c:pt idx="13">
                  <c:v>0.35355339059327379</c:v>
                </c:pt>
                <c:pt idx="14">
                  <c:v>0.32139380484326974</c:v>
                </c:pt>
                <c:pt idx="15">
                  <c:v>0.28678821817552319</c:v>
                </c:pt>
                <c:pt idx="16">
                  <c:v>0.24999999999999997</c:v>
                </c:pt>
                <c:pt idx="17">
                  <c:v>0.21130913087034975</c:v>
                </c:pt>
                <c:pt idx="18">
                  <c:v>0.17101007166283444</c:v>
                </c:pt>
                <c:pt idx="19">
                  <c:v>0.12940952255126051</c:v>
                </c:pt>
                <c:pt idx="20">
                  <c:v>8.6824088833465138E-2</c:v>
                </c:pt>
                <c:pt idx="21">
                  <c:v>4.3577871373829319E-2</c:v>
                </c:pt>
                <c:pt idx="22">
                  <c:v>6.1257422745431001E-17</c:v>
                </c:pt>
                <c:pt idx="23">
                  <c:v>-4.3577871373828972E-2</c:v>
                </c:pt>
                <c:pt idx="24">
                  <c:v>-8.6824088833465235E-2</c:v>
                </c:pt>
                <c:pt idx="25">
                  <c:v>-0.12940952255126018</c:v>
                </c:pt>
                <c:pt idx="26">
                  <c:v>-0.17101007166283433</c:v>
                </c:pt>
                <c:pt idx="27">
                  <c:v>-0.21130913087034964</c:v>
                </c:pt>
                <c:pt idx="28">
                  <c:v>-0.25000000000000006</c:v>
                </c:pt>
                <c:pt idx="29">
                  <c:v>-0.28678821817552291</c:v>
                </c:pt>
                <c:pt idx="30">
                  <c:v>-0.32139380484326963</c:v>
                </c:pt>
                <c:pt idx="31">
                  <c:v>-0.35355339059327373</c:v>
                </c:pt>
                <c:pt idx="32">
                  <c:v>-0.38302222155948895</c:v>
                </c:pt>
                <c:pt idx="33">
                  <c:v>-0.40957602214449579</c:v>
                </c:pt>
                <c:pt idx="34">
                  <c:v>-0.43301270189221919</c:v>
                </c:pt>
                <c:pt idx="35">
                  <c:v>-0.45315389351832486</c:v>
                </c:pt>
                <c:pt idx="36">
                  <c:v>-0.4698463103929541</c:v>
                </c:pt>
                <c:pt idx="37">
                  <c:v>-0.48296291314453416</c:v>
                </c:pt>
                <c:pt idx="38">
                  <c:v>-0.49240387650610401</c:v>
                </c:pt>
                <c:pt idx="39">
                  <c:v>-0.49809734904587277</c:v>
                </c:pt>
                <c:pt idx="40">
                  <c:v>-0.5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0478544"/>
        <c:axId val="-120470384"/>
      </c:scatterChart>
      <c:valAx>
        <c:axId val="-120478544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70384"/>
        <c:crosses val="autoZero"/>
        <c:crossBetween val="midCat"/>
        <c:majorUnit val="0.2"/>
      </c:valAx>
      <c:valAx>
        <c:axId val="-1204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7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Aerospike!$C$3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Aerospike!$B$4:$B$237</c:f>
              <c:numCache>
                <c:formatCode>0.0000000</c:formatCode>
                <c:ptCount val="23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3.06287113727155E-17</c:v>
                </c:pt>
                <c:pt idx="5">
                  <c:v>-4.3577871373829118E-2</c:v>
                </c:pt>
                <c:pt idx="6">
                  <c:v>-8.6824088833465152E-2</c:v>
                </c:pt>
                <c:pt idx="7">
                  <c:v>-0.12940952255126043</c:v>
                </c:pt>
                <c:pt idx="8">
                  <c:v>-0.17101007166283436</c:v>
                </c:pt>
                <c:pt idx="9">
                  <c:v>-0.21130913087034967</c:v>
                </c:pt>
                <c:pt idx="10">
                  <c:v>-0.24999999999999989</c:v>
                </c:pt>
                <c:pt idx="11">
                  <c:v>-0.28678821817552291</c:v>
                </c:pt>
                <c:pt idx="12">
                  <c:v>-0.32139380484326968</c:v>
                </c:pt>
                <c:pt idx="13">
                  <c:v>-0.35355339059327373</c:v>
                </c:pt>
                <c:pt idx="14">
                  <c:v>-0.38302222155948895</c:v>
                </c:pt>
                <c:pt idx="15">
                  <c:v>-0.40957602214449579</c:v>
                </c:pt>
                <c:pt idx="16">
                  <c:v>-0.43301270189221935</c:v>
                </c:pt>
                <c:pt idx="17">
                  <c:v>-0.45315389351832497</c:v>
                </c:pt>
                <c:pt idx="18">
                  <c:v>-0.46984631039295416</c:v>
                </c:pt>
                <c:pt idx="19">
                  <c:v>-0.4829629131445341</c:v>
                </c:pt>
                <c:pt idx="20">
                  <c:v>-0.49553010292242433</c:v>
                </c:pt>
                <c:pt idx="21">
                  <c:v>-1.3723333333333332</c:v>
                </c:pt>
                <c:pt idx="22">
                  <c:v>-1.4613333333333334</c:v>
                </c:pt>
                <c:pt idx="23">
                  <c:v>-1.5</c:v>
                </c:pt>
                <c:pt idx="24">
                  <c:v>-1.5</c:v>
                </c:pt>
                <c:pt idx="25">
                  <c:v>-1.4613333333333334</c:v>
                </c:pt>
                <c:pt idx="26">
                  <c:v>-1.3723333333333332</c:v>
                </c:pt>
                <c:pt idx="27">
                  <c:v>-0.49553243115849549</c:v>
                </c:pt>
                <c:pt idx="28">
                  <c:v>-0.48296291314453421</c:v>
                </c:pt>
                <c:pt idx="29">
                  <c:v>-0.46984631039295421</c:v>
                </c:pt>
                <c:pt idx="30">
                  <c:v>-0.45315389351832502</c:v>
                </c:pt>
                <c:pt idx="31">
                  <c:v>-0.4330127018922193</c:v>
                </c:pt>
                <c:pt idx="32">
                  <c:v>-0.40957602214449601</c:v>
                </c:pt>
                <c:pt idx="33">
                  <c:v>-0.38302222155948901</c:v>
                </c:pt>
                <c:pt idx="34">
                  <c:v>-0.35355339059327384</c:v>
                </c:pt>
                <c:pt idx="35">
                  <c:v>-0.32139380484326974</c:v>
                </c:pt>
                <c:pt idx="36">
                  <c:v>-0.28678821817552319</c:v>
                </c:pt>
                <c:pt idx="37">
                  <c:v>-0.25000000000000022</c:v>
                </c:pt>
                <c:pt idx="38">
                  <c:v>-0.21130913087034997</c:v>
                </c:pt>
                <c:pt idx="39">
                  <c:v>-0.17101007166283469</c:v>
                </c:pt>
                <c:pt idx="40">
                  <c:v>-0.12940952255126031</c:v>
                </c:pt>
                <c:pt idx="41">
                  <c:v>-8.6824088833465166E-2</c:v>
                </c:pt>
                <c:pt idx="42">
                  <c:v>-4.3577871373829125E-2</c:v>
                </c:pt>
                <c:pt idx="43">
                  <c:v>-9.1886134118146501E-17</c:v>
                </c:pt>
              </c:numCache>
            </c:numRef>
          </c:xVal>
          <c:yVal>
            <c:numRef>
              <c:f>Aerospike!$C$4:$C$237</c:f>
              <c:numCache>
                <c:formatCode>0.0000000</c:formatCode>
                <c:ptCount val="234"/>
                <c:pt idx="0">
                  <c:v>-0.5</c:v>
                </c:pt>
                <c:pt idx="1">
                  <c:v>-0.5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0.49809734904587277</c:v>
                </c:pt>
                <c:pt idx="6">
                  <c:v>0.49240387650610401</c:v>
                </c:pt>
                <c:pt idx="7">
                  <c:v>0.48296291314453416</c:v>
                </c:pt>
                <c:pt idx="8">
                  <c:v>0.46984631039295421</c:v>
                </c:pt>
                <c:pt idx="9">
                  <c:v>0.45315389351832502</c:v>
                </c:pt>
                <c:pt idx="10">
                  <c:v>0.43301270189221935</c:v>
                </c:pt>
                <c:pt idx="11">
                  <c:v>0.40957602214449601</c:v>
                </c:pt>
                <c:pt idx="12">
                  <c:v>0.38302222155948901</c:v>
                </c:pt>
                <c:pt idx="13">
                  <c:v>0.35355339059327379</c:v>
                </c:pt>
                <c:pt idx="14">
                  <c:v>0.32139380484326974</c:v>
                </c:pt>
                <c:pt idx="15">
                  <c:v>0.28678821817552319</c:v>
                </c:pt>
                <c:pt idx="16">
                  <c:v>0.24999999999999997</c:v>
                </c:pt>
                <c:pt idx="17">
                  <c:v>0.21130913087034975</c:v>
                </c:pt>
                <c:pt idx="18">
                  <c:v>0.17101007166283444</c:v>
                </c:pt>
                <c:pt idx="19">
                  <c:v>0.12940952255126051</c:v>
                </c:pt>
                <c:pt idx="20">
                  <c:v>6.6707698938664892E-2</c:v>
                </c:pt>
                <c:pt idx="21">
                  <c:v>6.6650000000000001E-2</c:v>
                </c:pt>
                <c:pt idx="22">
                  <c:v>0.16666666666666666</c:v>
                </c:pt>
                <c:pt idx="23">
                  <c:v>0.16666666666666666</c:v>
                </c:pt>
                <c:pt idx="24">
                  <c:v>-0.16666666666666666</c:v>
                </c:pt>
                <c:pt idx="25">
                  <c:v>-0.16666666666666666</c:v>
                </c:pt>
                <c:pt idx="26">
                  <c:v>-6.6650000000000001E-2</c:v>
                </c:pt>
                <c:pt idx="27">
                  <c:v>-6.669040163435018E-2</c:v>
                </c:pt>
                <c:pt idx="28">
                  <c:v>-0.12940952255126018</c:v>
                </c:pt>
                <c:pt idx="29">
                  <c:v>-0.17101007166283433</c:v>
                </c:pt>
                <c:pt idx="30">
                  <c:v>-0.21130913087034964</c:v>
                </c:pt>
                <c:pt idx="31">
                  <c:v>-0.25000000000000006</c:v>
                </c:pt>
                <c:pt idx="32">
                  <c:v>-0.28678821817552291</c:v>
                </c:pt>
                <c:pt idx="33">
                  <c:v>-0.32139380484326963</c:v>
                </c:pt>
                <c:pt idx="34">
                  <c:v>-0.35355339059327373</c:v>
                </c:pt>
                <c:pt idx="35">
                  <c:v>-0.38302222155948895</c:v>
                </c:pt>
                <c:pt idx="36">
                  <c:v>-0.40957602214449579</c:v>
                </c:pt>
                <c:pt idx="37">
                  <c:v>-0.43301270189221919</c:v>
                </c:pt>
                <c:pt idx="38">
                  <c:v>-0.45315389351832486</c:v>
                </c:pt>
                <c:pt idx="39">
                  <c:v>-0.4698463103929541</c:v>
                </c:pt>
                <c:pt idx="40">
                  <c:v>-0.48296291314453416</c:v>
                </c:pt>
                <c:pt idx="41">
                  <c:v>-0.49240387650610401</c:v>
                </c:pt>
                <c:pt idx="42">
                  <c:v>-0.49809734904587277</c:v>
                </c:pt>
                <c:pt idx="43">
                  <c:v>-0.5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0472560"/>
        <c:axId val="-120471472"/>
      </c:scatterChart>
      <c:valAx>
        <c:axId val="-120472560"/>
        <c:scaling>
          <c:orientation val="minMax"/>
          <c:max val="1.5"/>
          <c:min val="-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71472"/>
        <c:crosses val="autoZero"/>
        <c:crossBetween val="midCat"/>
        <c:majorUnit val="0.2"/>
      </c:valAx>
      <c:valAx>
        <c:axId val="-12047147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7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9712969084971248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78884414257378E-2"/>
          <c:y val="8.3750000000000005E-2"/>
          <c:w val="0.9292265031756527"/>
          <c:h val="0.865324074074074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'Triangular Prism'!$K$3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'Triangular Prism'!$B$4:$B$234</c:f>
              <c:numCache>
                <c:formatCode>0.0000000</c:formatCode>
                <c:ptCount val="231"/>
                <c:pt idx="0">
                  <c:v>0.9</c:v>
                </c:pt>
                <c:pt idx="1">
                  <c:v>2</c:v>
                </c:pt>
                <c:pt idx="2">
                  <c:v>2</c:v>
                </c:pt>
                <c:pt idx="3">
                  <c:v>0.9</c:v>
                </c:pt>
                <c:pt idx="9">
                  <c:v>-1</c:v>
                </c:pt>
                <c:pt idx="10">
                  <c:v>12.5</c:v>
                </c:pt>
                <c:pt idx="11">
                  <c:v>12.5</c:v>
                </c:pt>
                <c:pt idx="12">
                  <c:v>-1</c:v>
                </c:pt>
                <c:pt idx="13">
                  <c:v>-1</c:v>
                </c:pt>
                <c:pt idx="14">
                  <c:v>12.8</c:v>
                </c:pt>
                <c:pt idx="15">
                  <c:v>12.8</c:v>
                </c:pt>
                <c:pt idx="16">
                  <c:v>-1</c:v>
                </c:pt>
                <c:pt idx="17">
                  <c:v>-1</c:v>
                </c:pt>
              </c:numCache>
            </c:numRef>
          </c:xVal>
          <c:yVal>
            <c:numRef>
              <c:f>'Triangular Prism'!$K$4:$K$234</c:f>
              <c:numCache>
                <c:formatCode>0.0000000</c:formatCode>
                <c:ptCount val="231"/>
                <c:pt idx="0">
                  <c:v>1.5</c:v>
                </c:pt>
                <c:pt idx="1">
                  <c:v>1.9003672576928226</c:v>
                </c:pt>
                <c:pt idx="2">
                  <c:v>1.0996327423071774</c:v>
                </c:pt>
                <c:pt idx="3">
                  <c:v>1.5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3.3</c:v>
                </c:pt>
                <c:pt idx="14">
                  <c:v>3.3</c:v>
                </c:pt>
                <c:pt idx="15">
                  <c:v>-0.30000000000000004</c:v>
                </c:pt>
                <c:pt idx="16">
                  <c:v>-0.30000000000000004</c:v>
                </c:pt>
                <c:pt idx="1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0477456"/>
        <c:axId val="-120468208"/>
      </c:scatterChart>
      <c:valAx>
        <c:axId val="-120477456"/>
        <c:scaling>
          <c:orientation val="minMax"/>
          <c:max val="13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68208"/>
        <c:crosses val="autoZero"/>
        <c:crossBetween val="midCat"/>
        <c:majorUnit val="1"/>
      </c:valAx>
      <c:valAx>
        <c:axId val="-120468208"/>
        <c:scaling>
          <c:orientation val="minMax"/>
          <c:max val="3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77456"/>
        <c:crosses val="autoZero"/>
        <c:crossBetween val="midCat"/>
        <c:majorUnit val="0.4"/>
        <c:min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DBump!$C$3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DBump!$B$4:$B$234</c:f>
              <c:numCache>
                <c:formatCode>0.00000000</c:formatCode>
                <c:ptCount val="231"/>
                <c:pt idx="0">
                  <c:v>-1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0.55000000000000004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1.5</c:v>
                </c:pt>
                <c:pt idx="25">
                  <c:v>1.45</c:v>
                </c:pt>
                <c:pt idx="26">
                  <c:v>1.4</c:v>
                </c:pt>
                <c:pt idx="27">
                  <c:v>1.35</c:v>
                </c:pt>
                <c:pt idx="28">
                  <c:v>1.3</c:v>
                </c:pt>
                <c:pt idx="29">
                  <c:v>1.25</c:v>
                </c:pt>
                <c:pt idx="30">
                  <c:v>1.2</c:v>
                </c:pt>
                <c:pt idx="31">
                  <c:v>1.1499999999999999</c:v>
                </c:pt>
                <c:pt idx="32">
                  <c:v>1.1000000000000001</c:v>
                </c:pt>
                <c:pt idx="33">
                  <c:v>1.05</c:v>
                </c:pt>
                <c:pt idx="34">
                  <c:v>1</c:v>
                </c:pt>
                <c:pt idx="35">
                  <c:v>0.95</c:v>
                </c:pt>
                <c:pt idx="36">
                  <c:v>0.89999999999999902</c:v>
                </c:pt>
                <c:pt idx="37">
                  <c:v>0.84999999999999798</c:v>
                </c:pt>
                <c:pt idx="38">
                  <c:v>0.79999999999999705</c:v>
                </c:pt>
                <c:pt idx="39">
                  <c:v>0.749999999999996</c:v>
                </c:pt>
                <c:pt idx="40">
                  <c:v>0.69999999999999496</c:v>
                </c:pt>
                <c:pt idx="41">
                  <c:v>0.64999999999999403</c:v>
                </c:pt>
                <c:pt idx="42">
                  <c:v>0.59999999999999298</c:v>
                </c:pt>
                <c:pt idx="43">
                  <c:v>0.54999999999999305</c:v>
                </c:pt>
                <c:pt idx="44">
                  <c:v>0.49999999999999201</c:v>
                </c:pt>
                <c:pt idx="45">
                  <c:v>-1</c:v>
                </c:pt>
                <c:pt idx="46">
                  <c:v>-1</c:v>
                </c:pt>
                <c:pt idx="47">
                  <c:v>3.1</c:v>
                </c:pt>
                <c:pt idx="48">
                  <c:v>3.1</c:v>
                </c:pt>
                <c:pt idx="49">
                  <c:v>-1</c:v>
                </c:pt>
                <c:pt idx="50">
                  <c:v>-1</c:v>
                </c:pt>
              </c:numCache>
            </c:numRef>
          </c:xVal>
          <c:yVal>
            <c:numRef>
              <c:f>DBump!$C$4:$C$234</c:f>
              <c:numCache>
                <c:formatCode>0.00000000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4.6930339512069258E-3</c:v>
                </c:pt>
                <c:pt idx="3">
                  <c:v>9.2705098312484222E-3</c:v>
                </c:pt>
                <c:pt idx="4">
                  <c:v>1.3619714992186402E-2</c:v>
                </c:pt>
                <c:pt idx="5">
                  <c:v>1.7633557568774192E-2</c:v>
                </c:pt>
                <c:pt idx="6">
                  <c:v>2.1213203435596423E-2</c:v>
                </c:pt>
                <c:pt idx="7">
                  <c:v>2.4270509831248423E-2</c:v>
                </c:pt>
                <c:pt idx="8">
                  <c:v>2.6730195725651034E-2</c:v>
                </c:pt>
                <c:pt idx="9">
                  <c:v>2.8531695488854605E-2</c:v>
                </c:pt>
                <c:pt idx="10">
                  <c:v>2.9630650217854132E-2</c:v>
                </c:pt>
                <c:pt idx="11">
                  <c:v>0.03</c:v>
                </c:pt>
                <c:pt idx="12">
                  <c:v>2.9630650217854129E-2</c:v>
                </c:pt>
                <c:pt idx="13">
                  <c:v>2.8531695488854609E-2</c:v>
                </c:pt>
                <c:pt idx="14">
                  <c:v>2.6730195725651038E-2</c:v>
                </c:pt>
                <c:pt idx="15">
                  <c:v>2.4270509831248423E-2</c:v>
                </c:pt>
                <c:pt idx="16">
                  <c:v>2.1213203435596427E-2</c:v>
                </c:pt>
                <c:pt idx="17">
                  <c:v>1.7633557568774196E-2</c:v>
                </c:pt>
                <c:pt idx="18">
                  <c:v>1.3619714992186406E-2</c:v>
                </c:pt>
                <c:pt idx="19">
                  <c:v>9.2705098312484257E-3</c:v>
                </c:pt>
                <c:pt idx="20">
                  <c:v>4.6930339512069293E-3</c:v>
                </c:pt>
                <c:pt idx="21">
                  <c:v>3.6754453647258599E-18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0.9953069660487931</c:v>
                </c:pt>
                <c:pt idx="26">
                  <c:v>0.99072949016875156</c:v>
                </c:pt>
                <c:pt idx="27">
                  <c:v>0.98638028500781361</c:v>
                </c:pt>
                <c:pt idx="28">
                  <c:v>0.98236644243122584</c:v>
                </c:pt>
                <c:pt idx="29">
                  <c:v>0.97878679656440359</c:v>
                </c:pt>
                <c:pt idx="30">
                  <c:v>0.97572949016875155</c:v>
                </c:pt>
                <c:pt idx="31">
                  <c:v>0.97326980427434895</c:v>
                </c:pt>
                <c:pt idx="32">
                  <c:v>0.97146830451114541</c:v>
                </c:pt>
                <c:pt idx="33">
                  <c:v>0.97036934978214584</c:v>
                </c:pt>
                <c:pt idx="34">
                  <c:v>0.97</c:v>
                </c:pt>
                <c:pt idx="35">
                  <c:v>0.97036934978214584</c:v>
                </c:pt>
                <c:pt idx="36">
                  <c:v>0.97146830451114541</c:v>
                </c:pt>
                <c:pt idx="37">
                  <c:v>0.97326980427434906</c:v>
                </c:pt>
                <c:pt idx="38">
                  <c:v>0.97572949016875177</c:v>
                </c:pt>
                <c:pt idx="39">
                  <c:v>0.97878679656440382</c:v>
                </c:pt>
                <c:pt idx="40">
                  <c:v>0.98236644243122617</c:v>
                </c:pt>
                <c:pt idx="41">
                  <c:v>0.98638028500781405</c:v>
                </c:pt>
                <c:pt idx="42">
                  <c:v>0.99072949016875222</c:v>
                </c:pt>
                <c:pt idx="43">
                  <c:v>0.99530696604879376</c:v>
                </c:pt>
                <c:pt idx="44">
                  <c:v>1.0000000000000007</c:v>
                </c:pt>
                <c:pt idx="45">
                  <c:v>1</c:v>
                </c:pt>
                <c:pt idx="46">
                  <c:v>1.1000000000000001</c:v>
                </c:pt>
                <c:pt idx="47">
                  <c:v>1.1000000000000001</c:v>
                </c:pt>
                <c:pt idx="48">
                  <c:v>-0.1</c:v>
                </c:pt>
                <c:pt idx="49">
                  <c:v>-0.1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0474192"/>
        <c:axId val="-120464944"/>
      </c:scatterChart>
      <c:valAx>
        <c:axId val="-120474192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64944"/>
        <c:crosses val="autoZero"/>
        <c:crossBetween val="midCat"/>
        <c:majorUnit val="0.2"/>
        <c:minorUnit val="0.1"/>
      </c:valAx>
      <c:valAx>
        <c:axId val="-12046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74192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14</xdr:row>
      <xdr:rowOff>147637</xdr:rowOff>
    </xdr:from>
    <xdr:to>
      <xdr:col>18</xdr:col>
      <xdr:colOff>352425</xdr:colOff>
      <xdr:row>29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12</xdr:row>
      <xdr:rowOff>119061</xdr:rowOff>
    </xdr:from>
    <xdr:to>
      <xdr:col>23</xdr:col>
      <xdr:colOff>342900</xdr:colOff>
      <xdr:row>40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12</xdr:row>
      <xdr:rowOff>119062</xdr:rowOff>
    </xdr:from>
    <xdr:to>
      <xdr:col>26</xdr:col>
      <xdr:colOff>219074</xdr:colOff>
      <xdr:row>27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14</xdr:row>
      <xdr:rowOff>147637</xdr:rowOff>
    </xdr:from>
    <xdr:to>
      <xdr:col>21</xdr:col>
      <xdr:colOff>9525</xdr:colOff>
      <xdr:row>33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P48"/>
  <sheetViews>
    <sheetView tabSelected="1" workbookViewId="0">
      <selection activeCell="G14" sqref="G14"/>
    </sheetView>
  </sheetViews>
  <sheetFormatPr defaultRowHeight="15" x14ac:dyDescent="0.25"/>
  <cols>
    <col min="2" max="3" width="10.28515625" bestFit="1" customWidth="1"/>
  </cols>
  <sheetData>
    <row r="2" spans="1:16" x14ac:dyDescent="0.25">
      <c r="B2">
        <f>COUNT(B4:B999)</f>
        <v>41</v>
      </c>
    </row>
    <row r="3" spans="1:16" x14ac:dyDescent="0.25">
      <c r="B3" t="s">
        <v>0</v>
      </c>
      <c r="C3" t="s">
        <v>1</v>
      </c>
    </row>
    <row r="4" spans="1:16" x14ac:dyDescent="0.25">
      <c r="B4" s="3">
        <v>0</v>
      </c>
      <c r="C4" s="3">
        <v>-0.5</v>
      </c>
    </row>
    <row r="5" spans="1:16" x14ac:dyDescent="0.25">
      <c r="B5" s="3">
        <v>1</v>
      </c>
      <c r="C5" s="3">
        <v>-0.5</v>
      </c>
    </row>
    <row r="6" spans="1:16" x14ac:dyDescent="0.25">
      <c r="B6" s="3">
        <v>1</v>
      </c>
      <c r="C6" s="3">
        <v>0.5</v>
      </c>
      <c r="K6">
        <v>-3</v>
      </c>
      <c r="L6">
        <v>3</v>
      </c>
      <c r="M6">
        <f>L6-K6</f>
        <v>6</v>
      </c>
      <c r="N6">
        <v>6.2500000000000003E-3</v>
      </c>
      <c r="O6">
        <v>1185</v>
      </c>
      <c r="P6">
        <f>M6/O6</f>
        <v>5.0632911392405064E-3</v>
      </c>
    </row>
    <row r="7" spans="1:16" x14ac:dyDescent="0.25">
      <c r="B7" s="3">
        <v>0</v>
      </c>
      <c r="C7" s="3">
        <v>0.5</v>
      </c>
      <c r="K7">
        <v>-1.5</v>
      </c>
      <c r="L7">
        <v>4.5</v>
      </c>
      <c r="M7">
        <f>L7-K7</f>
        <v>6</v>
      </c>
      <c r="N7">
        <v>6.2500000000000003E-3</v>
      </c>
      <c r="O7">
        <v>1185</v>
      </c>
      <c r="P7">
        <f>M7/O7</f>
        <v>5.0632911392405064E-3</v>
      </c>
    </row>
    <row r="8" spans="1:16" x14ac:dyDescent="0.25">
      <c r="A8">
        <v>90</v>
      </c>
      <c r="B8" s="3">
        <f>0.5*COS(A8*PI()/180)</f>
        <v>3.06287113727155E-17</v>
      </c>
      <c r="C8" s="3">
        <f>0.5*SIN(A8*PI()/180)</f>
        <v>0.5</v>
      </c>
    </row>
    <row r="9" spans="1:16" x14ac:dyDescent="0.25">
      <c r="A9">
        <v>95</v>
      </c>
      <c r="B9" s="3">
        <f t="shared" ref="B9:B44" si="0">0.5*COS(A9*PI()/180)</f>
        <v>-4.3577871373829118E-2</v>
      </c>
      <c r="C9" s="3">
        <f t="shared" ref="C9:C26" si="1">0.5*SIN(A9*PI()/180)</f>
        <v>0.49809734904587277</v>
      </c>
    </row>
    <row r="10" spans="1:16" x14ac:dyDescent="0.25">
      <c r="A10">
        <v>100</v>
      </c>
      <c r="B10" s="3">
        <f t="shared" si="0"/>
        <v>-8.6824088833465152E-2</v>
      </c>
      <c r="C10" s="3">
        <f t="shared" si="1"/>
        <v>0.49240387650610401</v>
      </c>
    </row>
    <row r="11" spans="1:16" x14ac:dyDescent="0.25">
      <c r="A11">
        <v>105</v>
      </c>
      <c r="B11" s="3">
        <f t="shared" si="0"/>
        <v>-0.12940952255126043</v>
      </c>
      <c r="C11" s="3">
        <f t="shared" si="1"/>
        <v>0.48296291314453416</v>
      </c>
    </row>
    <row r="12" spans="1:16" x14ac:dyDescent="0.25">
      <c r="A12">
        <v>110</v>
      </c>
      <c r="B12" s="3">
        <f t="shared" si="0"/>
        <v>-0.17101007166283436</v>
      </c>
      <c r="C12" s="3">
        <f t="shared" si="1"/>
        <v>0.46984631039295421</v>
      </c>
    </row>
    <row r="13" spans="1:16" x14ac:dyDescent="0.25">
      <c r="A13">
        <v>115</v>
      </c>
      <c r="B13" s="3">
        <f t="shared" si="0"/>
        <v>-0.21130913087034967</v>
      </c>
      <c r="C13" s="3">
        <f t="shared" si="1"/>
        <v>0.45315389351832502</v>
      </c>
    </row>
    <row r="14" spans="1:16" x14ac:dyDescent="0.25">
      <c r="A14">
        <v>120</v>
      </c>
      <c r="B14" s="3">
        <f t="shared" si="0"/>
        <v>-0.24999999999999989</v>
      </c>
      <c r="C14" s="3">
        <f t="shared" si="1"/>
        <v>0.43301270189221935</v>
      </c>
    </row>
    <row r="15" spans="1:16" x14ac:dyDescent="0.25">
      <c r="A15">
        <v>125</v>
      </c>
      <c r="B15" s="3">
        <f t="shared" si="0"/>
        <v>-0.28678821817552291</v>
      </c>
      <c r="C15" s="3">
        <f t="shared" si="1"/>
        <v>0.40957602214449601</v>
      </c>
    </row>
    <row r="16" spans="1:16" x14ac:dyDescent="0.25">
      <c r="A16">
        <v>130</v>
      </c>
      <c r="B16" s="3">
        <f t="shared" si="0"/>
        <v>-0.32139380484326968</v>
      </c>
      <c r="C16" s="3">
        <f t="shared" si="1"/>
        <v>0.38302222155948901</v>
      </c>
    </row>
    <row r="17" spans="1:3" x14ac:dyDescent="0.25">
      <c r="A17">
        <v>135</v>
      </c>
      <c r="B17" s="3">
        <f t="shared" si="0"/>
        <v>-0.35355339059327373</v>
      </c>
      <c r="C17" s="3">
        <f t="shared" si="1"/>
        <v>0.35355339059327379</v>
      </c>
    </row>
    <row r="18" spans="1:3" x14ac:dyDescent="0.25">
      <c r="A18">
        <v>140</v>
      </c>
      <c r="B18" s="3">
        <f t="shared" si="0"/>
        <v>-0.38302222155948895</v>
      </c>
      <c r="C18" s="3">
        <f t="shared" si="1"/>
        <v>0.32139380484326974</v>
      </c>
    </row>
    <row r="19" spans="1:3" x14ac:dyDescent="0.25">
      <c r="A19">
        <v>145</v>
      </c>
      <c r="B19" s="3">
        <f t="shared" si="0"/>
        <v>-0.40957602214449579</v>
      </c>
      <c r="C19" s="3">
        <f t="shared" si="1"/>
        <v>0.28678821817552319</v>
      </c>
    </row>
    <row r="20" spans="1:3" x14ac:dyDescent="0.25">
      <c r="A20">
        <v>150</v>
      </c>
      <c r="B20" s="3">
        <f t="shared" si="0"/>
        <v>-0.43301270189221935</v>
      </c>
      <c r="C20" s="3">
        <f t="shared" si="1"/>
        <v>0.24999999999999997</v>
      </c>
    </row>
    <row r="21" spans="1:3" x14ac:dyDescent="0.25">
      <c r="A21">
        <v>155</v>
      </c>
      <c r="B21" s="3">
        <f t="shared" si="0"/>
        <v>-0.45315389351832497</v>
      </c>
      <c r="C21" s="3">
        <f t="shared" si="1"/>
        <v>0.21130913087034975</v>
      </c>
    </row>
    <row r="22" spans="1:3" x14ac:dyDescent="0.25">
      <c r="A22">
        <v>160</v>
      </c>
      <c r="B22" s="3">
        <f t="shared" si="0"/>
        <v>-0.46984631039295416</v>
      </c>
      <c r="C22" s="3">
        <f t="shared" si="1"/>
        <v>0.17101007166283444</v>
      </c>
    </row>
    <row r="23" spans="1:3" x14ac:dyDescent="0.25">
      <c r="A23">
        <v>165</v>
      </c>
      <c r="B23" s="3">
        <f t="shared" si="0"/>
        <v>-0.4829629131445341</v>
      </c>
      <c r="C23" s="3">
        <f t="shared" si="1"/>
        <v>0.12940952255126051</v>
      </c>
    </row>
    <row r="24" spans="1:3" x14ac:dyDescent="0.25">
      <c r="A24">
        <v>170</v>
      </c>
      <c r="B24" s="3">
        <f t="shared" si="0"/>
        <v>-0.49240387650610401</v>
      </c>
      <c r="C24" s="3">
        <f t="shared" si="1"/>
        <v>8.6824088833465138E-2</v>
      </c>
    </row>
    <row r="25" spans="1:3" x14ac:dyDescent="0.25">
      <c r="A25">
        <v>175</v>
      </c>
      <c r="B25" s="3">
        <f t="shared" si="0"/>
        <v>-0.49809734904587277</v>
      </c>
      <c r="C25" s="3">
        <f t="shared" si="1"/>
        <v>4.3577871373829319E-2</v>
      </c>
    </row>
    <row r="26" spans="1:3" x14ac:dyDescent="0.25">
      <c r="A26">
        <v>180</v>
      </c>
      <c r="B26" s="3">
        <f t="shared" si="0"/>
        <v>-0.5</v>
      </c>
      <c r="C26" s="3">
        <f t="shared" si="1"/>
        <v>6.1257422745431001E-17</v>
      </c>
    </row>
    <row r="27" spans="1:3" x14ac:dyDescent="0.25">
      <c r="A27">
        <v>185</v>
      </c>
      <c r="B27" s="3">
        <f t="shared" si="0"/>
        <v>-0.49809734904587277</v>
      </c>
      <c r="C27" s="3">
        <f t="shared" ref="C27:C44" si="2">0.5*SIN(A27*PI()/180)</f>
        <v>-4.3577871373828972E-2</v>
      </c>
    </row>
    <row r="28" spans="1:3" x14ac:dyDescent="0.25">
      <c r="A28">
        <v>190</v>
      </c>
      <c r="B28" s="3">
        <f t="shared" si="0"/>
        <v>-0.49240387650610401</v>
      </c>
      <c r="C28" s="3">
        <f t="shared" si="2"/>
        <v>-8.6824088833465235E-2</v>
      </c>
    </row>
    <row r="29" spans="1:3" x14ac:dyDescent="0.25">
      <c r="A29">
        <v>195</v>
      </c>
      <c r="B29" s="3">
        <f t="shared" si="0"/>
        <v>-0.48296291314453421</v>
      </c>
      <c r="C29" s="3">
        <f t="shared" si="2"/>
        <v>-0.12940952255126018</v>
      </c>
    </row>
    <row r="30" spans="1:3" x14ac:dyDescent="0.25">
      <c r="A30">
        <v>200</v>
      </c>
      <c r="B30" s="3">
        <f t="shared" si="0"/>
        <v>-0.46984631039295421</v>
      </c>
      <c r="C30" s="3">
        <f t="shared" si="2"/>
        <v>-0.17101007166283433</v>
      </c>
    </row>
    <row r="31" spans="1:3" x14ac:dyDescent="0.25">
      <c r="A31">
        <v>205</v>
      </c>
      <c r="B31" s="3">
        <f t="shared" si="0"/>
        <v>-0.45315389351832502</v>
      </c>
      <c r="C31" s="3">
        <f t="shared" si="2"/>
        <v>-0.21130913087034964</v>
      </c>
    </row>
    <row r="32" spans="1:3" x14ac:dyDescent="0.25">
      <c r="A32">
        <v>210</v>
      </c>
      <c r="B32" s="3">
        <f t="shared" si="0"/>
        <v>-0.4330127018922193</v>
      </c>
      <c r="C32" s="3">
        <f t="shared" si="2"/>
        <v>-0.25000000000000006</v>
      </c>
    </row>
    <row r="33" spans="1:3" x14ac:dyDescent="0.25">
      <c r="A33">
        <v>215</v>
      </c>
      <c r="B33" s="3">
        <f t="shared" si="0"/>
        <v>-0.40957602214449601</v>
      </c>
      <c r="C33" s="3">
        <f t="shared" si="2"/>
        <v>-0.28678821817552291</v>
      </c>
    </row>
    <row r="34" spans="1:3" x14ac:dyDescent="0.25">
      <c r="A34">
        <v>220</v>
      </c>
      <c r="B34" s="3">
        <f t="shared" si="0"/>
        <v>-0.38302222155948901</v>
      </c>
      <c r="C34" s="3">
        <f t="shared" si="2"/>
        <v>-0.32139380484326963</v>
      </c>
    </row>
    <row r="35" spans="1:3" x14ac:dyDescent="0.25">
      <c r="A35">
        <v>225</v>
      </c>
      <c r="B35" s="3">
        <f t="shared" si="0"/>
        <v>-0.35355339059327384</v>
      </c>
      <c r="C35" s="3">
        <f t="shared" si="2"/>
        <v>-0.35355339059327373</v>
      </c>
    </row>
    <row r="36" spans="1:3" x14ac:dyDescent="0.25">
      <c r="A36">
        <v>230</v>
      </c>
      <c r="B36" s="3">
        <f t="shared" si="0"/>
        <v>-0.32139380484326974</v>
      </c>
      <c r="C36" s="3">
        <f t="shared" si="2"/>
        <v>-0.38302222155948895</v>
      </c>
    </row>
    <row r="37" spans="1:3" x14ac:dyDescent="0.25">
      <c r="A37">
        <v>235</v>
      </c>
      <c r="B37" s="3">
        <f t="shared" si="0"/>
        <v>-0.28678821817552319</v>
      </c>
      <c r="C37" s="3">
        <f t="shared" si="2"/>
        <v>-0.40957602214449579</v>
      </c>
    </row>
    <row r="38" spans="1:3" x14ac:dyDescent="0.25">
      <c r="A38">
        <v>240</v>
      </c>
      <c r="B38" s="3">
        <f t="shared" si="0"/>
        <v>-0.25000000000000022</v>
      </c>
      <c r="C38" s="3">
        <f t="shared" si="2"/>
        <v>-0.43301270189221919</v>
      </c>
    </row>
    <row r="39" spans="1:3" x14ac:dyDescent="0.25">
      <c r="A39">
        <v>245</v>
      </c>
      <c r="B39" s="3">
        <f t="shared" si="0"/>
        <v>-0.21130913087034997</v>
      </c>
      <c r="C39" s="3">
        <f t="shared" si="2"/>
        <v>-0.45315389351832486</v>
      </c>
    </row>
    <row r="40" spans="1:3" x14ac:dyDescent="0.25">
      <c r="A40">
        <v>250</v>
      </c>
      <c r="B40" s="3">
        <f t="shared" si="0"/>
        <v>-0.17101007166283469</v>
      </c>
      <c r="C40" s="3">
        <f t="shared" si="2"/>
        <v>-0.4698463103929541</v>
      </c>
    </row>
    <row r="41" spans="1:3" x14ac:dyDescent="0.25">
      <c r="A41">
        <v>255</v>
      </c>
      <c r="B41" s="3">
        <f t="shared" si="0"/>
        <v>-0.12940952255126031</v>
      </c>
      <c r="C41" s="3">
        <f t="shared" si="2"/>
        <v>-0.48296291314453416</v>
      </c>
    </row>
    <row r="42" spans="1:3" x14ac:dyDescent="0.25">
      <c r="A42">
        <v>260</v>
      </c>
      <c r="B42" s="3">
        <f t="shared" si="0"/>
        <v>-8.6824088833465166E-2</v>
      </c>
      <c r="C42" s="3">
        <f t="shared" si="2"/>
        <v>-0.49240387650610401</v>
      </c>
    </row>
    <row r="43" spans="1:3" x14ac:dyDescent="0.25">
      <c r="A43">
        <v>265</v>
      </c>
      <c r="B43" s="3">
        <f t="shared" si="0"/>
        <v>-4.3577871373829125E-2</v>
      </c>
      <c r="C43" s="3">
        <f t="shared" si="2"/>
        <v>-0.49809734904587277</v>
      </c>
    </row>
    <row r="44" spans="1:3" x14ac:dyDescent="0.25">
      <c r="A44">
        <v>270</v>
      </c>
      <c r="B44" s="3">
        <f t="shared" si="0"/>
        <v>-9.1886134118146501E-17</v>
      </c>
      <c r="C44" s="3">
        <f t="shared" si="2"/>
        <v>-0.5</v>
      </c>
    </row>
    <row r="45" spans="1:3" x14ac:dyDescent="0.25">
      <c r="B45" s="2"/>
      <c r="C45" s="2"/>
    </row>
    <row r="46" spans="1:3" x14ac:dyDescent="0.25">
      <c r="B46" s="2"/>
      <c r="C46" s="2"/>
    </row>
    <row r="47" spans="1:3" x14ac:dyDescent="0.25">
      <c r="B47" s="2"/>
      <c r="C47" s="2"/>
    </row>
    <row r="48" spans="1:3" x14ac:dyDescent="0.25">
      <c r="B48" s="2"/>
      <c r="C4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T51"/>
  <sheetViews>
    <sheetView workbookViewId="0">
      <selection activeCell="O3" sqref="O3:T4"/>
    </sheetView>
  </sheetViews>
  <sheetFormatPr defaultRowHeight="15" x14ac:dyDescent="0.25"/>
  <cols>
    <col min="2" max="3" width="11.28515625" bestFit="1" customWidth="1"/>
  </cols>
  <sheetData>
    <row r="2" spans="1:20" x14ac:dyDescent="0.25">
      <c r="B2">
        <f>COUNT(B4:B1002)</f>
        <v>44</v>
      </c>
    </row>
    <row r="3" spans="1:20" x14ac:dyDescent="0.25">
      <c r="B3" t="s">
        <v>0</v>
      </c>
      <c r="C3" t="s">
        <v>1</v>
      </c>
      <c r="E3" t="s">
        <v>0</v>
      </c>
      <c r="F3" t="s">
        <v>1</v>
      </c>
      <c r="O3">
        <v>-3</v>
      </c>
      <c r="P3">
        <v>3</v>
      </c>
      <c r="Q3">
        <f>P3-O3</f>
        <v>6</v>
      </c>
      <c r="R3">
        <v>6.2500000000000003E-3</v>
      </c>
      <c r="S3">
        <f>S4*Q3/Q4</f>
        <v>1185</v>
      </c>
      <c r="T3">
        <f>Q3/S3</f>
        <v>5.0632911392405064E-3</v>
      </c>
    </row>
    <row r="4" spans="1:20" x14ac:dyDescent="0.25">
      <c r="B4" s="3">
        <v>0</v>
      </c>
      <c r="C4" s="3">
        <v>-0.5</v>
      </c>
      <c r="E4">
        <v>-0.495</v>
      </c>
      <c r="F4">
        <f>-F5</f>
        <v>-6.6650000000000001E-2</v>
      </c>
      <c r="O4">
        <v>-2.5</v>
      </c>
      <c r="P4">
        <v>1.5</v>
      </c>
      <c r="Q4">
        <f>P4-O4</f>
        <v>4</v>
      </c>
      <c r="R4">
        <v>6.2500000000000003E-3</v>
      </c>
      <c r="S4">
        <v>790</v>
      </c>
      <c r="T4">
        <f>Q4/S4</f>
        <v>5.0632911392405064E-3</v>
      </c>
    </row>
    <row r="5" spans="1:20" x14ac:dyDescent="0.25">
      <c r="B5" s="3">
        <v>1</v>
      </c>
      <c r="C5" s="3">
        <v>-0.5</v>
      </c>
      <c r="E5">
        <v>-0.495</v>
      </c>
      <c r="F5">
        <f>0.1333/2</f>
        <v>6.6650000000000001E-2</v>
      </c>
      <c r="H5">
        <f>1.26+0.58</f>
        <v>1.8399999999999999</v>
      </c>
    </row>
    <row r="6" spans="1:20" x14ac:dyDescent="0.25">
      <c r="B6" s="3">
        <v>1</v>
      </c>
      <c r="C6" s="3">
        <v>0.5</v>
      </c>
      <c r="E6">
        <f>E4-I6</f>
        <v>-1.3723333333333332</v>
      </c>
      <c r="F6">
        <f>-F4</f>
        <v>6.6650000000000001E-2</v>
      </c>
      <c r="H6">
        <f>H5/15</f>
        <v>0.12266666666666666</v>
      </c>
      <c r="I6">
        <f>1-H6</f>
        <v>0.8773333333333333</v>
      </c>
    </row>
    <row r="7" spans="1:20" x14ac:dyDescent="0.25">
      <c r="B7" s="3">
        <v>0</v>
      </c>
      <c r="C7" s="3">
        <v>0.5</v>
      </c>
      <c r="E7">
        <f>-1.5+H7</f>
        <v>-1.4613333333333334</v>
      </c>
      <c r="F7">
        <f>1/6</f>
        <v>0.16666666666666666</v>
      </c>
      <c r="H7">
        <f>0.58/15</f>
        <v>3.8666666666666662E-2</v>
      </c>
    </row>
    <row r="8" spans="1:20" x14ac:dyDescent="0.25">
      <c r="A8">
        <v>90</v>
      </c>
      <c r="B8" s="3">
        <f>0.5*COS(A8*PI()/180)</f>
        <v>3.06287113727155E-17</v>
      </c>
      <c r="C8" s="3">
        <f>0.5*SIN(A8*PI()/180)</f>
        <v>0.5</v>
      </c>
      <c r="E8">
        <v>-1.5</v>
      </c>
      <c r="F8">
        <f>F7</f>
        <v>0.16666666666666666</v>
      </c>
    </row>
    <row r="9" spans="1:20" x14ac:dyDescent="0.25">
      <c r="A9">
        <v>95</v>
      </c>
      <c r="B9" s="3">
        <f t="shared" ref="B9:B24" si="0">0.5*COS(A9*PI()/180)</f>
        <v>-4.3577871373829118E-2</v>
      </c>
      <c r="C9" s="3">
        <f t="shared" ref="C9:C24" si="1">0.5*SIN(A9*PI()/180)</f>
        <v>0.49809734904587277</v>
      </c>
      <c r="E9">
        <v>-1.5</v>
      </c>
      <c r="F9">
        <f>-F8</f>
        <v>-0.16666666666666666</v>
      </c>
    </row>
    <row r="10" spans="1:20" x14ac:dyDescent="0.25">
      <c r="A10">
        <v>100</v>
      </c>
      <c r="B10" s="3">
        <f t="shared" si="0"/>
        <v>-8.6824088833465152E-2</v>
      </c>
      <c r="C10" s="3">
        <f t="shared" si="1"/>
        <v>0.49240387650610401</v>
      </c>
      <c r="E10">
        <f>E7</f>
        <v>-1.4613333333333334</v>
      </c>
      <c r="F10">
        <f>F9</f>
        <v>-0.16666666666666666</v>
      </c>
    </row>
    <row r="11" spans="1:20" x14ac:dyDescent="0.25">
      <c r="A11">
        <v>105</v>
      </c>
      <c r="B11" s="3">
        <f t="shared" si="0"/>
        <v>-0.12940952255126043</v>
      </c>
      <c r="C11" s="3">
        <f t="shared" si="1"/>
        <v>0.48296291314453416</v>
      </c>
      <c r="E11">
        <f>E6</f>
        <v>-1.3723333333333332</v>
      </c>
      <c r="F11">
        <f>-F6</f>
        <v>-6.6650000000000001E-2</v>
      </c>
    </row>
    <row r="12" spans="1:20" x14ac:dyDescent="0.25">
      <c r="A12">
        <v>110</v>
      </c>
      <c r="B12" s="3">
        <f t="shared" si="0"/>
        <v>-0.17101007166283436</v>
      </c>
      <c r="C12" s="3">
        <f t="shared" si="1"/>
        <v>0.46984631039295421</v>
      </c>
      <c r="E12">
        <v>-0.495</v>
      </c>
      <c r="F12">
        <v>-6.6650000000000001E-2</v>
      </c>
    </row>
    <row r="13" spans="1:20" x14ac:dyDescent="0.25">
      <c r="A13">
        <v>115</v>
      </c>
      <c r="B13" s="3">
        <f t="shared" si="0"/>
        <v>-0.21130913087034967</v>
      </c>
      <c r="C13" s="3">
        <f t="shared" si="1"/>
        <v>0.45315389351832502</v>
      </c>
    </row>
    <row r="14" spans="1:20" x14ac:dyDescent="0.25">
      <c r="A14">
        <v>120</v>
      </c>
      <c r="B14" s="3">
        <f t="shared" si="0"/>
        <v>-0.24999999999999989</v>
      </c>
      <c r="C14" s="3">
        <f t="shared" si="1"/>
        <v>0.43301270189221935</v>
      </c>
    </row>
    <row r="15" spans="1:20" x14ac:dyDescent="0.25">
      <c r="A15">
        <v>125</v>
      </c>
      <c r="B15" s="3">
        <f t="shared" si="0"/>
        <v>-0.28678821817552291</v>
      </c>
      <c r="C15" s="3">
        <f t="shared" si="1"/>
        <v>0.40957602214449601</v>
      </c>
    </row>
    <row r="16" spans="1:20" x14ac:dyDescent="0.25">
      <c r="A16">
        <v>130</v>
      </c>
      <c r="B16" s="3">
        <f t="shared" si="0"/>
        <v>-0.32139380484326968</v>
      </c>
      <c r="C16" s="3">
        <f t="shared" si="1"/>
        <v>0.38302222155948901</v>
      </c>
    </row>
    <row r="17" spans="1:3" x14ac:dyDescent="0.25">
      <c r="A17">
        <v>135</v>
      </c>
      <c r="B17" s="3">
        <f t="shared" si="0"/>
        <v>-0.35355339059327373</v>
      </c>
      <c r="C17" s="3">
        <f t="shared" si="1"/>
        <v>0.35355339059327379</v>
      </c>
    </row>
    <row r="18" spans="1:3" x14ac:dyDescent="0.25">
      <c r="A18">
        <v>140</v>
      </c>
      <c r="B18" s="3">
        <f t="shared" si="0"/>
        <v>-0.38302222155948895</v>
      </c>
      <c r="C18" s="3">
        <f t="shared" si="1"/>
        <v>0.32139380484326974</v>
      </c>
    </row>
    <row r="19" spans="1:3" x14ac:dyDescent="0.25">
      <c r="A19">
        <v>145</v>
      </c>
      <c r="B19" s="3">
        <f t="shared" si="0"/>
        <v>-0.40957602214449579</v>
      </c>
      <c r="C19" s="3">
        <f t="shared" si="1"/>
        <v>0.28678821817552319</v>
      </c>
    </row>
    <row r="20" spans="1:3" x14ac:dyDescent="0.25">
      <c r="A20">
        <v>150</v>
      </c>
      <c r="B20" s="3">
        <f t="shared" si="0"/>
        <v>-0.43301270189221935</v>
      </c>
      <c r="C20" s="3">
        <f t="shared" si="1"/>
        <v>0.24999999999999997</v>
      </c>
    </row>
    <row r="21" spans="1:3" x14ac:dyDescent="0.25">
      <c r="A21">
        <v>155</v>
      </c>
      <c r="B21" s="3">
        <f t="shared" si="0"/>
        <v>-0.45315389351832497</v>
      </c>
      <c r="C21" s="3">
        <f t="shared" si="1"/>
        <v>0.21130913087034975</v>
      </c>
    </row>
    <row r="22" spans="1:3" x14ac:dyDescent="0.25">
      <c r="A22">
        <v>160</v>
      </c>
      <c r="B22" s="3">
        <f t="shared" si="0"/>
        <v>-0.46984631039295416</v>
      </c>
      <c r="C22" s="3">
        <f t="shared" si="1"/>
        <v>0.17101007166283444</v>
      </c>
    </row>
    <row r="23" spans="1:3" x14ac:dyDescent="0.25">
      <c r="A23">
        <v>165</v>
      </c>
      <c r="B23" s="3">
        <f t="shared" si="0"/>
        <v>-0.4829629131445341</v>
      </c>
      <c r="C23" s="3">
        <f t="shared" si="1"/>
        <v>0.12940952255126051</v>
      </c>
    </row>
    <row r="24" spans="1:3" x14ac:dyDescent="0.25">
      <c r="A24">
        <v>172.333</v>
      </c>
      <c r="B24" s="3">
        <f t="shared" si="0"/>
        <v>-0.49553010292242433</v>
      </c>
      <c r="C24" s="3">
        <f t="shared" si="1"/>
        <v>6.6707698938664892E-2</v>
      </c>
    </row>
    <row r="25" spans="1:3" x14ac:dyDescent="0.25">
      <c r="B25" s="3">
        <v>-1.3723333333333332</v>
      </c>
      <c r="C25" s="3">
        <v>6.6650000000000001E-2</v>
      </c>
    </row>
    <row r="26" spans="1:3" x14ac:dyDescent="0.25">
      <c r="B26" s="3">
        <v>-1.4613333333333334</v>
      </c>
      <c r="C26" s="3">
        <v>0.16666666666666666</v>
      </c>
    </row>
    <row r="27" spans="1:3" x14ac:dyDescent="0.25">
      <c r="B27" s="3">
        <v>-1.5</v>
      </c>
      <c r="C27" s="3">
        <v>0.16666666666666666</v>
      </c>
    </row>
    <row r="28" spans="1:3" x14ac:dyDescent="0.25">
      <c r="B28" s="3">
        <v>-1.5</v>
      </c>
      <c r="C28" s="3">
        <v>-0.16666666666666666</v>
      </c>
    </row>
    <row r="29" spans="1:3" x14ac:dyDescent="0.25">
      <c r="B29" s="3">
        <v>-1.4613333333333334</v>
      </c>
      <c r="C29" s="3">
        <v>-0.16666666666666666</v>
      </c>
    </row>
    <row r="30" spans="1:3" x14ac:dyDescent="0.25">
      <c r="B30" s="3">
        <v>-1.3723333333333332</v>
      </c>
      <c r="C30" s="3">
        <v>-6.6650000000000001E-2</v>
      </c>
    </row>
    <row r="31" spans="1:3" x14ac:dyDescent="0.25">
      <c r="A31">
        <v>187.66499999999999</v>
      </c>
      <c r="B31" s="3">
        <f t="shared" ref="B31:B47" si="2">0.5*COS(A31*PI()/180)</f>
        <v>-0.49553243115849549</v>
      </c>
      <c r="C31" s="3">
        <f t="shared" ref="C31:C47" si="3">0.5*SIN(A31*PI()/180)</f>
        <v>-6.669040163435018E-2</v>
      </c>
    </row>
    <row r="32" spans="1:3" x14ac:dyDescent="0.25">
      <c r="A32">
        <v>195</v>
      </c>
      <c r="B32" s="3">
        <f t="shared" si="2"/>
        <v>-0.48296291314453421</v>
      </c>
      <c r="C32" s="3">
        <f t="shared" si="3"/>
        <v>-0.12940952255126018</v>
      </c>
    </row>
    <row r="33" spans="1:3" x14ac:dyDescent="0.25">
      <c r="A33">
        <v>200</v>
      </c>
      <c r="B33" s="3">
        <f t="shared" si="2"/>
        <v>-0.46984631039295421</v>
      </c>
      <c r="C33" s="3">
        <f t="shared" si="3"/>
        <v>-0.17101007166283433</v>
      </c>
    </row>
    <row r="34" spans="1:3" x14ac:dyDescent="0.25">
      <c r="A34">
        <v>205</v>
      </c>
      <c r="B34" s="3">
        <f t="shared" si="2"/>
        <v>-0.45315389351832502</v>
      </c>
      <c r="C34" s="3">
        <f t="shared" si="3"/>
        <v>-0.21130913087034964</v>
      </c>
    </row>
    <row r="35" spans="1:3" x14ac:dyDescent="0.25">
      <c r="A35">
        <v>210</v>
      </c>
      <c r="B35" s="3">
        <f t="shared" si="2"/>
        <v>-0.4330127018922193</v>
      </c>
      <c r="C35" s="3">
        <f t="shared" si="3"/>
        <v>-0.25000000000000006</v>
      </c>
    </row>
    <row r="36" spans="1:3" x14ac:dyDescent="0.25">
      <c r="A36">
        <v>215</v>
      </c>
      <c r="B36" s="3">
        <f t="shared" si="2"/>
        <v>-0.40957602214449601</v>
      </c>
      <c r="C36" s="3">
        <f t="shared" si="3"/>
        <v>-0.28678821817552291</v>
      </c>
    </row>
    <row r="37" spans="1:3" x14ac:dyDescent="0.25">
      <c r="A37">
        <v>220</v>
      </c>
      <c r="B37" s="3">
        <f t="shared" si="2"/>
        <v>-0.38302222155948901</v>
      </c>
      <c r="C37" s="3">
        <f t="shared" si="3"/>
        <v>-0.32139380484326963</v>
      </c>
    </row>
    <row r="38" spans="1:3" x14ac:dyDescent="0.25">
      <c r="A38">
        <v>225</v>
      </c>
      <c r="B38" s="3">
        <f t="shared" si="2"/>
        <v>-0.35355339059327384</v>
      </c>
      <c r="C38" s="3">
        <f t="shared" si="3"/>
        <v>-0.35355339059327373</v>
      </c>
    </row>
    <row r="39" spans="1:3" x14ac:dyDescent="0.25">
      <c r="A39">
        <v>230</v>
      </c>
      <c r="B39" s="3">
        <f t="shared" si="2"/>
        <v>-0.32139380484326974</v>
      </c>
      <c r="C39" s="3">
        <f t="shared" si="3"/>
        <v>-0.38302222155948895</v>
      </c>
    </row>
    <row r="40" spans="1:3" x14ac:dyDescent="0.25">
      <c r="A40">
        <v>235</v>
      </c>
      <c r="B40" s="3">
        <f t="shared" si="2"/>
        <v>-0.28678821817552319</v>
      </c>
      <c r="C40" s="3">
        <f t="shared" si="3"/>
        <v>-0.40957602214449579</v>
      </c>
    </row>
    <row r="41" spans="1:3" x14ac:dyDescent="0.25">
      <c r="A41">
        <v>240</v>
      </c>
      <c r="B41" s="3">
        <f t="shared" si="2"/>
        <v>-0.25000000000000022</v>
      </c>
      <c r="C41" s="3">
        <f t="shared" si="3"/>
        <v>-0.43301270189221919</v>
      </c>
    </row>
    <row r="42" spans="1:3" x14ac:dyDescent="0.25">
      <c r="A42">
        <v>245</v>
      </c>
      <c r="B42" s="3">
        <f t="shared" si="2"/>
        <v>-0.21130913087034997</v>
      </c>
      <c r="C42" s="3">
        <f t="shared" si="3"/>
        <v>-0.45315389351832486</v>
      </c>
    </row>
    <row r="43" spans="1:3" x14ac:dyDescent="0.25">
      <c r="A43">
        <v>250</v>
      </c>
      <c r="B43" s="3">
        <f t="shared" si="2"/>
        <v>-0.17101007166283469</v>
      </c>
      <c r="C43" s="3">
        <f t="shared" si="3"/>
        <v>-0.4698463103929541</v>
      </c>
    </row>
    <row r="44" spans="1:3" x14ac:dyDescent="0.25">
      <c r="A44">
        <v>255</v>
      </c>
      <c r="B44" s="3">
        <f t="shared" si="2"/>
        <v>-0.12940952255126031</v>
      </c>
      <c r="C44" s="3">
        <f t="shared" si="3"/>
        <v>-0.48296291314453416</v>
      </c>
    </row>
    <row r="45" spans="1:3" x14ac:dyDescent="0.25">
      <c r="A45">
        <v>260</v>
      </c>
      <c r="B45" s="3">
        <f t="shared" si="2"/>
        <v>-8.6824088833465166E-2</v>
      </c>
      <c r="C45" s="3">
        <f t="shared" si="3"/>
        <v>-0.49240387650610401</v>
      </c>
    </row>
    <row r="46" spans="1:3" x14ac:dyDescent="0.25">
      <c r="A46">
        <v>265</v>
      </c>
      <c r="B46" s="3">
        <f t="shared" si="2"/>
        <v>-4.3577871373829125E-2</v>
      </c>
      <c r="C46" s="3">
        <f t="shared" si="3"/>
        <v>-0.49809734904587277</v>
      </c>
    </row>
    <row r="47" spans="1:3" x14ac:dyDescent="0.25">
      <c r="A47">
        <v>270</v>
      </c>
      <c r="B47" s="3">
        <f t="shared" si="2"/>
        <v>-9.1886134118146501E-17</v>
      </c>
      <c r="C47" s="3">
        <f t="shared" si="3"/>
        <v>-0.5</v>
      </c>
    </row>
    <row r="48" spans="1:3" x14ac:dyDescent="0.25">
      <c r="B48" s="2"/>
      <c r="C48" s="2"/>
    </row>
    <row r="49" spans="2:3" x14ac:dyDescent="0.25">
      <c r="B49" s="2"/>
      <c r="C49" s="2"/>
    </row>
    <row r="50" spans="2:3" x14ac:dyDescent="0.25">
      <c r="B50" s="2"/>
      <c r="C50" s="2"/>
    </row>
    <row r="51" spans="2:3" x14ac:dyDescent="0.25">
      <c r="B51" s="2"/>
      <c r="C51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U48"/>
  <sheetViews>
    <sheetView workbookViewId="0">
      <selection activeCell="U3" sqref="U3"/>
    </sheetView>
  </sheetViews>
  <sheetFormatPr defaultRowHeight="15" x14ac:dyDescent="0.25"/>
  <cols>
    <col min="2" max="2" width="10.5703125" bestFit="1" customWidth="1"/>
    <col min="3" max="3" width="10.28515625" bestFit="1" customWidth="1"/>
    <col min="5" max="5" width="9.5703125" bestFit="1" customWidth="1"/>
    <col min="10" max="10" width="10.5703125" bestFit="1" customWidth="1"/>
    <col min="11" max="11" width="10.28515625" bestFit="1" customWidth="1"/>
  </cols>
  <sheetData>
    <row r="2" spans="2:21" x14ac:dyDescent="0.25">
      <c r="B2">
        <f>COUNT(B4:B999)</f>
        <v>13</v>
      </c>
      <c r="O2">
        <v>0</v>
      </c>
      <c r="P2">
        <v>3</v>
      </c>
      <c r="Q2">
        <f>P2-O2</f>
        <v>3</v>
      </c>
      <c r="R2">
        <v>6.2500000000000003E-3</v>
      </c>
      <c r="S2">
        <f>S3*Q2/Q3</f>
        <v>400</v>
      </c>
      <c r="T2">
        <f>Q2/S2</f>
        <v>7.4999999999999997E-3</v>
      </c>
      <c r="U2">
        <f>T2*2</f>
        <v>1.4999999999999999E-2</v>
      </c>
    </row>
    <row r="3" spans="2:21" x14ac:dyDescent="0.25">
      <c r="B3" t="s">
        <v>0</v>
      </c>
      <c r="C3" t="s">
        <v>1</v>
      </c>
      <c r="O3">
        <v>0</v>
      </c>
      <c r="P3">
        <v>3</v>
      </c>
      <c r="Q3">
        <f>P3-O3</f>
        <v>3</v>
      </c>
      <c r="R3">
        <v>6.2500000000000003E-3</v>
      </c>
      <c r="S3">
        <v>400</v>
      </c>
      <c r="T3">
        <f>Q3/S3</f>
        <v>7.4999999999999997E-3</v>
      </c>
    </row>
    <row r="4" spans="2:21" x14ac:dyDescent="0.25">
      <c r="B4" s="3">
        <v>0.9</v>
      </c>
      <c r="C4" s="3">
        <v>0</v>
      </c>
      <c r="E4">
        <v>1.1000000000000001</v>
      </c>
      <c r="J4" s="3">
        <f>B4</f>
        <v>0.9</v>
      </c>
      <c r="K4" s="3">
        <f>C4+1.5</f>
        <v>1.5</v>
      </c>
    </row>
    <row r="5" spans="2:21" x14ac:dyDescent="0.25">
      <c r="B5" s="3">
        <f>B4+1.1</f>
        <v>2</v>
      </c>
      <c r="C5" s="3">
        <f>1.1*TAN(20*PI()/180)</f>
        <v>0.40036725769282261</v>
      </c>
      <c r="E5" s="1">
        <f>C5-C6</f>
        <v>0.80073451538564522</v>
      </c>
      <c r="G5">
        <f>E5*11</f>
        <v>8.8080796692420975</v>
      </c>
      <c r="J5" s="3">
        <f t="shared" ref="J5:J8" si="0">B5</f>
        <v>2</v>
      </c>
      <c r="K5" s="3">
        <f t="shared" ref="K5:K8" si="1">C5+1.5</f>
        <v>1.9003672576928226</v>
      </c>
    </row>
    <row r="6" spans="2:21" x14ac:dyDescent="0.25">
      <c r="B6" s="3">
        <f>B5</f>
        <v>2</v>
      </c>
      <c r="C6" s="3">
        <f>-C5</f>
        <v>-0.40036725769282261</v>
      </c>
      <c r="E6">
        <v>1.1000000000000001</v>
      </c>
      <c r="J6" s="3">
        <f t="shared" si="0"/>
        <v>2</v>
      </c>
      <c r="K6" s="3">
        <f t="shared" si="1"/>
        <v>1.0996327423071774</v>
      </c>
    </row>
    <row r="7" spans="2:21" x14ac:dyDescent="0.25">
      <c r="B7" s="3">
        <f>B4</f>
        <v>0.9</v>
      </c>
      <c r="C7" s="3">
        <v>0</v>
      </c>
      <c r="J7" s="3">
        <f t="shared" si="0"/>
        <v>0.9</v>
      </c>
      <c r="K7" s="3">
        <f t="shared" si="1"/>
        <v>1.5</v>
      </c>
      <c r="Q7">
        <f>3/600</f>
        <v>5.0000000000000001E-3</v>
      </c>
      <c r="S7">
        <v>3.02</v>
      </c>
    </row>
    <row r="8" spans="2:21" x14ac:dyDescent="0.25">
      <c r="B8" s="3"/>
      <c r="C8" s="3"/>
      <c r="E8">
        <f>SUM(E4:E6)*4</f>
        <v>12.002938061542581</v>
      </c>
      <c r="J8" s="3"/>
      <c r="K8" s="3"/>
      <c r="Q8">
        <f>12/1200</f>
        <v>0.01</v>
      </c>
    </row>
    <row r="9" spans="2:21" x14ac:dyDescent="0.25">
      <c r="B9" s="3"/>
      <c r="C9" s="3"/>
      <c r="J9" s="3"/>
      <c r="K9" s="3"/>
      <c r="Q9">
        <f>3/300</f>
        <v>0.01</v>
      </c>
    </row>
    <row r="10" spans="2:21" x14ac:dyDescent="0.25">
      <c r="B10" s="3"/>
      <c r="C10" s="3"/>
      <c r="D10">
        <v>0.9</v>
      </c>
      <c r="E10">
        <f>12-1.1</f>
        <v>10.9</v>
      </c>
      <c r="J10" s="3"/>
      <c r="K10" s="3"/>
    </row>
    <row r="11" spans="2:21" x14ac:dyDescent="0.25">
      <c r="B11" s="3"/>
      <c r="C11" s="3"/>
      <c r="J11" s="3"/>
      <c r="K11" s="3"/>
    </row>
    <row r="12" spans="2:21" x14ac:dyDescent="0.25">
      <c r="B12" s="3"/>
      <c r="C12" s="3"/>
      <c r="J12" s="3"/>
      <c r="K12" s="3"/>
    </row>
    <row r="13" spans="2:21" x14ac:dyDescent="0.25">
      <c r="B13" s="3">
        <v>-1</v>
      </c>
      <c r="C13" s="3">
        <v>-1.5</v>
      </c>
      <c r="J13" s="3">
        <f t="shared" ref="J9:J21" si="2">B13</f>
        <v>-1</v>
      </c>
      <c r="K13" s="3">
        <f t="shared" ref="K9:K21" si="3">C13+1.5</f>
        <v>0</v>
      </c>
    </row>
    <row r="14" spans="2:21" x14ac:dyDescent="0.25">
      <c r="B14" s="3">
        <v>12.5</v>
      </c>
      <c r="C14" s="3">
        <v>-1.5</v>
      </c>
      <c r="J14" s="3">
        <f t="shared" si="2"/>
        <v>12.5</v>
      </c>
      <c r="K14" s="3">
        <f t="shared" si="3"/>
        <v>0</v>
      </c>
    </row>
    <row r="15" spans="2:21" x14ac:dyDescent="0.25">
      <c r="B15" s="3">
        <v>12.5</v>
      </c>
      <c r="C15" s="3">
        <v>1.5</v>
      </c>
      <c r="J15" s="3">
        <f t="shared" si="2"/>
        <v>12.5</v>
      </c>
      <c r="K15" s="3">
        <f t="shared" si="3"/>
        <v>3</v>
      </c>
    </row>
    <row r="16" spans="2:21" x14ac:dyDescent="0.25">
      <c r="B16" s="3">
        <v>-1</v>
      </c>
      <c r="C16" s="3">
        <v>1.5</v>
      </c>
      <c r="J16" s="3">
        <f t="shared" si="2"/>
        <v>-1</v>
      </c>
      <c r="K16" s="3">
        <f t="shared" si="3"/>
        <v>3</v>
      </c>
    </row>
    <row r="17" spans="2:11" x14ac:dyDescent="0.25">
      <c r="B17" s="3">
        <v>-1</v>
      </c>
      <c r="C17" s="3">
        <v>1.8</v>
      </c>
      <c r="J17" s="3">
        <f t="shared" si="2"/>
        <v>-1</v>
      </c>
      <c r="K17" s="3">
        <f t="shared" si="3"/>
        <v>3.3</v>
      </c>
    </row>
    <row r="18" spans="2:11" x14ac:dyDescent="0.25">
      <c r="B18" s="3">
        <v>12.8</v>
      </c>
      <c r="C18" s="3">
        <v>1.8</v>
      </c>
      <c r="J18" s="3">
        <f t="shared" si="2"/>
        <v>12.8</v>
      </c>
      <c r="K18" s="3">
        <f t="shared" si="3"/>
        <v>3.3</v>
      </c>
    </row>
    <row r="19" spans="2:11" x14ac:dyDescent="0.25">
      <c r="B19" s="3">
        <v>12.8</v>
      </c>
      <c r="C19" s="3">
        <v>-1.8</v>
      </c>
      <c r="J19" s="3">
        <f t="shared" si="2"/>
        <v>12.8</v>
      </c>
      <c r="K19" s="3">
        <f t="shared" si="3"/>
        <v>-0.30000000000000004</v>
      </c>
    </row>
    <row r="20" spans="2:11" x14ac:dyDescent="0.25">
      <c r="B20" s="3">
        <v>-1</v>
      </c>
      <c r="C20" s="3">
        <v>-1.8</v>
      </c>
      <c r="J20" s="3">
        <f t="shared" si="2"/>
        <v>-1</v>
      </c>
      <c r="K20" s="3">
        <f t="shared" si="3"/>
        <v>-0.30000000000000004</v>
      </c>
    </row>
    <row r="21" spans="2:11" x14ac:dyDescent="0.25">
      <c r="B21" s="3">
        <v>-1</v>
      </c>
      <c r="C21" s="3">
        <v>-1.5</v>
      </c>
      <c r="J21" s="3">
        <f t="shared" si="2"/>
        <v>-1</v>
      </c>
      <c r="K21" s="3">
        <f t="shared" si="3"/>
        <v>0</v>
      </c>
    </row>
    <row r="22" spans="2:11" x14ac:dyDescent="0.25">
      <c r="B22" s="3"/>
      <c r="C22" s="3"/>
    </row>
    <row r="23" spans="2:11" x14ac:dyDescent="0.25">
      <c r="B23" s="3"/>
      <c r="C23" s="3"/>
    </row>
    <row r="24" spans="2:11" x14ac:dyDescent="0.25">
      <c r="B24" s="3"/>
      <c r="C24" s="3"/>
    </row>
    <row r="25" spans="2:11" x14ac:dyDescent="0.25">
      <c r="B25" s="3"/>
      <c r="C25" s="3"/>
    </row>
    <row r="26" spans="2:11" x14ac:dyDescent="0.25">
      <c r="B26" s="3"/>
      <c r="C26" s="3"/>
    </row>
    <row r="27" spans="2:11" x14ac:dyDescent="0.25">
      <c r="B27" s="3"/>
      <c r="C27" s="3"/>
    </row>
    <row r="28" spans="2:11" x14ac:dyDescent="0.25">
      <c r="B28" s="3"/>
      <c r="C28" s="3"/>
    </row>
    <row r="29" spans="2:11" x14ac:dyDescent="0.25">
      <c r="B29" s="3"/>
      <c r="C29" s="3"/>
    </row>
    <row r="30" spans="2:11" x14ac:dyDescent="0.25">
      <c r="B30" s="3"/>
      <c r="C30" s="3"/>
    </row>
    <row r="31" spans="2:11" x14ac:dyDescent="0.25">
      <c r="B31" s="3"/>
      <c r="C31" s="3"/>
    </row>
    <row r="32" spans="2:11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2"/>
      <c r="C45" s="2"/>
    </row>
    <row r="46" spans="2:3" x14ac:dyDescent="0.25">
      <c r="B46" s="2"/>
      <c r="C46" s="2"/>
    </row>
    <row r="47" spans="2:3" x14ac:dyDescent="0.25">
      <c r="B47" s="2"/>
      <c r="C47" s="2"/>
    </row>
    <row r="48" spans="2:3" x14ac:dyDescent="0.25">
      <c r="B48" s="2"/>
      <c r="C48" s="2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X54"/>
  <sheetViews>
    <sheetView workbookViewId="0">
      <selection activeCell="Q10" sqref="Q10"/>
    </sheetView>
  </sheetViews>
  <sheetFormatPr defaultRowHeight="15" x14ac:dyDescent="0.25"/>
  <cols>
    <col min="2" max="2" width="11.42578125" bestFit="1" customWidth="1"/>
    <col min="3" max="3" width="11.28515625" bestFit="1" customWidth="1"/>
  </cols>
  <sheetData>
    <row r="2" spans="2:24" x14ac:dyDescent="0.25">
      <c r="B2">
        <f>COUNT(B11:B999)</f>
        <v>44</v>
      </c>
    </row>
    <row r="3" spans="2:24" x14ac:dyDescent="0.25">
      <c r="B3" t="s">
        <v>0</v>
      </c>
      <c r="C3" t="s">
        <v>1</v>
      </c>
    </row>
    <row r="4" spans="2:24" x14ac:dyDescent="0.25">
      <c r="B4" s="4">
        <v>-1</v>
      </c>
      <c r="C4" s="4">
        <v>0</v>
      </c>
      <c r="U4">
        <f>V6/V4</f>
        <v>5.3333333333333332E-3</v>
      </c>
      <c r="V4">
        <f>V5*1.5</f>
        <v>750</v>
      </c>
      <c r="W4">
        <f>W5*1.5</f>
        <v>750</v>
      </c>
    </row>
    <row r="5" spans="2:24" x14ac:dyDescent="0.25">
      <c r="B5" s="4">
        <v>0</v>
      </c>
      <c r="C5" s="4">
        <f>0.03*SIN(PI()*B5)</f>
        <v>0</v>
      </c>
      <c r="V5">
        <f>V6/V7</f>
        <v>500</v>
      </c>
      <c r="W5">
        <f>W6/V7</f>
        <v>500</v>
      </c>
    </row>
    <row r="6" spans="2:24" x14ac:dyDescent="0.25">
      <c r="B6" s="4">
        <v>0.05</v>
      </c>
      <c r="C6" s="4">
        <f t="shared" ref="C6:C25" si="0">0.03*SIN(PI()*B6)</f>
        <v>4.6930339512069258E-3</v>
      </c>
      <c r="R6">
        <v>2.5</v>
      </c>
      <c r="S6">
        <v>1</v>
      </c>
      <c r="V6">
        <v>4</v>
      </c>
      <c r="W6">
        <v>4</v>
      </c>
    </row>
    <row r="7" spans="2:24" x14ac:dyDescent="0.25">
      <c r="B7" s="4">
        <v>0.1</v>
      </c>
      <c r="C7" s="4">
        <f t="shared" si="0"/>
        <v>9.2705098312484222E-3</v>
      </c>
      <c r="Q7">
        <f>R7*S7</f>
        <v>625000</v>
      </c>
      <c r="R7">
        <v>1250</v>
      </c>
      <c r="S7">
        <f>R7/R6</f>
        <v>500</v>
      </c>
      <c r="V7">
        <v>8.0000000000000002E-3</v>
      </c>
    </row>
    <row r="8" spans="2:24" x14ac:dyDescent="0.25">
      <c r="B8" s="4">
        <v>0.15</v>
      </c>
      <c r="C8" s="4">
        <f t="shared" si="0"/>
        <v>1.3619714992186402E-2</v>
      </c>
      <c r="R8">
        <f>R7/R6</f>
        <v>500</v>
      </c>
    </row>
    <row r="9" spans="2:24" x14ac:dyDescent="0.25">
      <c r="B9" s="4">
        <v>0.2</v>
      </c>
      <c r="C9" s="4">
        <f t="shared" si="0"/>
        <v>1.7633557568774192E-2</v>
      </c>
      <c r="Q9">
        <f>R9*(R8+2)</f>
        <v>1.004</v>
      </c>
      <c r="R9">
        <f>R6/R7</f>
        <v>2E-3</v>
      </c>
      <c r="S9">
        <f>S6/S7</f>
        <v>2E-3</v>
      </c>
    </row>
    <row r="10" spans="2:24" x14ac:dyDescent="0.25">
      <c r="B10" s="4">
        <v>0.25</v>
      </c>
      <c r="C10" s="4">
        <f t="shared" si="0"/>
        <v>2.1213203435596423E-2</v>
      </c>
      <c r="W10" t="s">
        <v>2</v>
      </c>
      <c r="X10">
        <f>8.73*101325</f>
        <v>884567.25</v>
      </c>
    </row>
    <row r="11" spans="2:24" x14ac:dyDescent="0.25">
      <c r="B11" s="4">
        <v>0.3</v>
      </c>
      <c r="C11" s="4">
        <f t="shared" si="0"/>
        <v>2.4270509831248423E-2</v>
      </c>
      <c r="W11" t="s">
        <v>3</v>
      </c>
      <c r="X11">
        <v>642.91999999999996</v>
      </c>
    </row>
    <row r="12" spans="2:24" x14ac:dyDescent="0.25">
      <c r="B12" s="4">
        <v>0.35</v>
      </c>
      <c r="C12" s="4">
        <f t="shared" si="0"/>
        <v>2.6730195725651034E-2</v>
      </c>
      <c r="W12" t="s">
        <v>4</v>
      </c>
      <c r="X12" s="5">
        <f>X10/X11/287</f>
        <v>4.7939336988405037</v>
      </c>
    </row>
    <row r="13" spans="2:24" x14ac:dyDescent="0.25">
      <c r="B13" s="4">
        <v>0.4</v>
      </c>
      <c r="C13" s="4">
        <f t="shared" si="0"/>
        <v>2.8531695488854605E-2</v>
      </c>
    </row>
    <row r="14" spans="2:24" x14ac:dyDescent="0.25">
      <c r="B14" s="4">
        <v>0.45</v>
      </c>
      <c r="C14" s="4">
        <f t="shared" si="0"/>
        <v>2.9630650217854132E-2</v>
      </c>
    </row>
    <row r="15" spans="2:24" x14ac:dyDescent="0.25">
      <c r="B15" s="4">
        <v>0.5</v>
      </c>
      <c r="C15" s="4">
        <f t="shared" si="0"/>
        <v>0.03</v>
      </c>
    </row>
    <row r="16" spans="2:24" x14ac:dyDescent="0.25">
      <c r="B16" s="4">
        <v>0.55000000000000004</v>
      </c>
      <c r="C16" s="4">
        <f t="shared" si="0"/>
        <v>2.9630650217854129E-2</v>
      </c>
    </row>
    <row r="17" spans="2:3" x14ac:dyDescent="0.25">
      <c r="B17" s="4">
        <v>0.6</v>
      </c>
      <c r="C17" s="4">
        <f t="shared" si="0"/>
        <v>2.8531695488854609E-2</v>
      </c>
    </row>
    <row r="18" spans="2:3" x14ac:dyDescent="0.25">
      <c r="B18" s="4">
        <v>0.65</v>
      </c>
      <c r="C18" s="4">
        <f t="shared" si="0"/>
        <v>2.6730195725651038E-2</v>
      </c>
    </row>
    <row r="19" spans="2:3" x14ac:dyDescent="0.25">
      <c r="B19" s="4">
        <v>0.7</v>
      </c>
      <c r="C19" s="4">
        <f t="shared" si="0"/>
        <v>2.4270509831248423E-2</v>
      </c>
    </row>
    <row r="20" spans="2:3" x14ac:dyDescent="0.25">
      <c r="B20" s="4">
        <v>0.75</v>
      </c>
      <c r="C20" s="4">
        <f t="shared" si="0"/>
        <v>2.1213203435596427E-2</v>
      </c>
    </row>
    <row r="21" spans="2:3" x14ac:dyDescent="0.25">
      <c r="B21" s="4">
        <v>0.8</v>
      </c>
      <c r="C21" s="4">
        <f t="shared" si="0"/>
        <v>1.7633557568774196E-2</v>
      </c>
    </row>
    <row r="22" spans="2:3" x14ac:dyDescent="0.25">
      <c r="B22" s="4">
        <v>0.85</v>
      </c>
      <c r="C22" s="4">
        <f t="shared" si="0"/>
        <v>1.3619714992186406E-2</v>
      </c>
    </row>
    <row r="23" spans="2:3" x14ac:dyDescent="0.25">
      <c r="B23" s="4">
        <v>0.9</v>
      </c>
      <c r="C23" s="4">
        <f t="shared" si="0"/>
        <v>9.2705098312484257E-3</v>
      </c>
    </row>
    <row r="24" spans="2:3" x14ac:dyDescent="0.25">
      <c r="B24" s="4">
        <v>0.95</v>
      </c>
      <c r="C24" s="4">
        <f t="shared" si="0"/>
        <v>4.6930339512069293E-3</v>
      </c>
    </row>
    <row r="25" spans="2:3" x14ac:dyDescent="0.25">
      <c r="B25" s="4">
        <v>1</v>
      </c>
      <c r="C25" s="4">
        <f t="shared" si="0"/>
        <v>3.6754453647258599E-18</v>
      </c>
    </row>
    <row r="26" spans="2:3" x14ac:dyDescent="0.25">
      <c r="B26" s="4">
        <v>3</v>
      </c>
      <c r="C26" s="4">
        <v>0</v>
      </c>
    </row>
    <row r="27" spans="2:3" x14ac:dyDescent="0.25">
      <c r="B27" s="4">
        <v>3</v>
      </c>
      <c r="C27" s="4">
        <v>1</v>
      </c>
    </row>
    <row r="28" spans="2:3" x14ac:dyDescent="0.25">
      <c r="B28" s="4">
        <v>1.5</v>
      </c>
      <c r="C28" s="4">
        <f>1-0.03*SIN(PI()*(B28-0.5))</f>
        <v>1</v>
      </c>
    </row>
    <row r="29" spans="2:3" x14ac:dyDescent="0.25">
      <c r="B29" s="4">
        <v>1.45</v>
      </c>
      <c r="C29" s="4">
        <f t="shared" ref="C29:C48" si="1">1-0.03*SIN(PI()*(B29-0.5))</f>
        <v>0.9953069660487931</v>
      </c>
    </row>
    <row r="30" spans="2:3" x14ac:dyDescent="0.25">
      <c r="B30" s="4">
        <v>1.4</v>
      </c>
      <c r="C30" s="4">
        <f t="shared" si="1"/>
        <v>0.99072949016875156</v>
      </c>
    </row>
    <row r="31" spans="2:3" x14ac:dyDescent="0.25">
      <c r="B31" s="4">
        <v>1.35</v>
      </c>
      <c r="C31" s="4">
        <f t="shared" si="1"/>
        <v>0.98638028500781361</v>
      </c>
    </row>
    <row r="32" spans="2:3" x14ac:dyDescent="0.25">
      <c r="B32" s="4">
        <v>1.3</v>
      </c>
      <c r="C32" s="4">
        <f t="shared" si="1"/>
        <v>0.98236644243122584</v>
      </c>
    </row>
    <row r="33" spans="2:3" x14ac:dyDescent="0.25">
      <c r="B33" s="4">
        <v>1.25</v>
      </c>
      <c r="C33" s="4">
        <f t="shared" si="1"/>
        <v>0.97878679656440359</v>
      </c>
    </row>
    <row r="34" spans="2:3" x14ac:dyDescent="0.25">
      <c r="B34" s="4">
        <v>1.2</v>
      </c>
      <c r="C34" s="4">
        <f t="shared" si="1"/>
        <v>0.97572949016875155</v>
      </c>
    </row>
    <row r="35" spans="2:3" x14ac:dyDescent="0.25">
      <c r="B35" s="4">
        <v>1.1499999999999999</v>
      </c>
      <c r="C35" s="4">
        <f t="shared" si="1"/>
        <v>0.97326980427434895</v>
      </c>
    </row>
    <row r="36" spans="2:3" x14ac:dyDescent="0.25">
      <c r="B36" s="4">
        <v>1.1000000000000001</v>
      </c>
      <c r="C36" s="4">
        <f t="shared" si="1"/>
        <v>0.97146830451114541</v>
      </c>
    </row>
    <row r="37" spans="2:3" x14ac:dyDescent="0.25">
      <c r="B37" s="4">
        <v>1.05</v>
      </c>
      <c r="C37" s="4">
        <f t="shared" si="1"/>
        <v>0.97036934978214584</v>
      </c>
    </row>
    <row r="38" spans="2:3" x14ac:dyDescent="0.25">
      <c r="B38" s="4">
        <v>1</v>
      </c>
      <c r="C38" s="4">
        <f t="shared" si="1"/>
        <v>0.97</v>
      </c>
    </row>
    <row r="39" spans="2:3" x14ac:dyDescent="0.25">
      <c r="B39" s="4">
        <v>0.95</v>
      </c>
      <c r="C39" s="4">
        <f t="shared" si="1"/>
        <v>0.97036934978214584</v>
      </c>
    </row>
    <row r="40" spans="2:3" x14ac:dyDescent="0.25">
      <c r="B40" s="4">
        <v>0.89999999999999902</v>
      </c>
      <c r="C40" s="4">
        <f t="shared" si="1"/>
        <v>0.97146830451114541</v>
      </c>
    </row>
    <row r="41" spans="2:3" x14ac:dyDescent="0.25">
      <c r="B41" s="4">
        <v>0.84999999999999798</v>
      </c>
      <c r="C41" s="4">
        <f t="shared" si="1"/>
        <v>0.97326980427434906</v>
      </c>
    </row>
    <row r="42" spans="2:3" x14ac:dyDescent="0.25">
      <c r="B42" s="4">
        <v>0.79999999999999705</v>
      </c>
      <c r="C42" s="4">
        <f t="shared" si="1"/>
        <v>0.97572949016875177</v>
      </c>
    </row>
    <row r="43" spans="2:3" x14ac:dyDescent="0.25">
      <c r="B43" s="4">
        <v>0.749999999999996</v>
      </c>
      <c r="C43" s="4">
        <f t="shared" si="1"/>
        <v>0.97878679656440382</v>
      </c>
    </row>
    <row r="44" spans="2:3" x14ac:dyDescent="0.25">
      <c r="B44" s="4">
        <v>0.69999999999999496</v>
      </c>
      <c r="C44" s="4">
        <f t="shared" si="1"/>
        <v>0.98236644243122617</v>
      </c>
    </row>
    <row r="45" spans="2:3" x14ac:dyDescent="0.25">
      <c r="B45" s="4">
        <v>0.64999999999999403</v>
      </c>
      <c r="C45" s="4">
        <f t="shared" si="1"/>
        <v>0.98638028500781405</v>
      </c>
    </row>
    <row r="46" spans="2:3" x14ac:dyDescent="0.25">
      <c r="B46" s="4">
        <v>0.59999999999999298</v>
      </c>
      <c r="C46" s="4">
        <f t="shared" si="1"/>
        <v>0.99072949016875222</v>
      </c>
    </row>
    <row r="47" spans="2:3" x14ac:dyDescent="0.25">
      <c r="B47" s="4">
        <v>0.54999999999999305</v>
      </c>
      <c r="C47" s="4">
        <f t="shared" si="1"/>
        <v>0.99530696604879376</v>
      </c>
    </row>
    <row r="48" spans="2:3" x14ac:dyDescent="0.25">
      <c r="B48" s="4">
        <v>0.49999999999999201</v>
      </c>
      <c r="C48" s="4">
        <f t="shared" si="1"/>
        <v>1.0000000000000007</v>
      </c>
    </row>
    <row r="49" spans="2:3" x14ac:dyDescent="0.25">
      <c r="B49" s="4">
        <v>-1</v>
      </c>
      <c r="C49" s="4">
        <v>1</v>
      </c>
    </row>
    <row r="50" spans="2:3" x14ac:dyDescent="0.25">
      <c r="B50" s="4">
        <v>-1</v>
      </c>
      <c r="C50" s="4">
        <v>1.1000000000000001</v>
      </c>
    </row>
    <row r="51" spans="2:3" x14ac:dyDescent="0.25">
      <c r="B51" s="4">
        <v>3.1</v>
      </c>
      <c r="C51" s="4">
        <v>1.1000000000000001</v>
      </c>
    </row>
    <row r="52" spans="2:3" x14ac:dyDescent="0.25">
      <c r="B52" s="4">
        <v>3.1</v>
      </c>
      <c r="C52" s="4">
        <v>-0.1</v>
      </c>
    </row>
    <row r="53" spans="2:3" x14ac:dyDescent="0.25">
      <c r="B53" s="4">
        <v>-1</v>
      </c>
      <c r="C53" s="4">
        <v>-0.1</v>
      </c>
    </row>
    <row r="54" spans="2:3" x14ac:dyDescent="0.25">
      <c r="B54" s="4">
        <v>-1</v>
      </c>
      <c r="C54" s="4">
        <v>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Blunt Body</vt:lpstr>
      <vt:lpstr>Aerospike</vt:lpstr>
      <vt:lpstr>Triangular Prism</vt:lpstr>
      <vt:lpstr>DBump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2024-08-06T14:12:27Z</dcterms:created>
  <dcterms:modified xsi:type="dcterms:W3CDTF">2024-08-13T01:32:04Z</dcterms:modified>
</cp:coreProperties>
</file>